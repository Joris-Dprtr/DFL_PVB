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is\Projects\PVB_VOF\results\"/>
    </mc:Choice>
  </mc:AlternateContent>
  <xr:revisionPtr revIDLastSave="0" documentId="8_{C05157C3-BA93-42EF-9287-038ECAF7B9F0}" xr6:coauthVersionLast="47" xr6:coauthVersionMax="47" xr10:uidLastSave="{00000000-0000-0000-0000-000000000000}"/>
  <bookViews>
    <workbookView xWindow="0" yWindow="5510" windowWidth="28800" windowHeight="15370" xr2:uid="{DDFCD243-73CC-4053-ACA5-748232F04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C43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C9" i="1"/>
  <c r="D31" i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C12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C10" i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</calcChain>
</file>

<file path=xl/sharedStrings.xml><?xml version="1.0" encoding="utf-8"?>
<sst xmlns="http://schemas.openxmlformats.org/spreadsheetml/2006/main" count="22" uniqueCount="12">
  <si>
    <t>Perfect</t>
  </si>
  <si>
    <t>Naive</t>
  </si>
  <si>
    <t>LSTM</t>
  </si>
  <si>
    <t>CVX</t>
  </si>
  <si>
    <t>LSTM-CVX</t>
  </si>
  <si>
    <t>0.5 noise</t>
  </si>
  <si>
    <t>LSTM-CVX/LSTM</t>
  </si>
  <si>
    <t>LSTM-CVX/Perfect</t>
  </si>
  <si>
    <t>Min - perfect</t>
  </si>
  <si>
    <t>CVX/LSTM</t>
  </si>
  <si>
    <t>Difference cvx</t>
  </si>
  <si>
    <t>Difference lstm-cvx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</si>
</sst>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0" fontId="2" fillId="0" borderId="1" xfId="0" applyFont="1" applyBorder="1"/>
    <xf numFmtId="168" fontId="2" fillId="0" borderId="2" xfId="1" applyNumberFormat="1" applyFont="1" applyBorder="1"/>
    <xf numFmtId="168" fontId="2" fillId="0" borderId="3" xfId="1" applyNumberFormat="1" applyFont="1" applyBorder="1"/>
    <xf numFmtId="0" fontId="2" fillId="0" borderId="4" xfId="0" applyFont="1" applyBorder="1"/>
    <xf numFmtId="2" fontId="2" fillId="0" borderId="0" xfId="1" applyNumberFormat="1" applyFont="1" applyBorder="1"/>
    <xf numFmtId="2" fontId="2" fillId="0" borderId="5" xfId="1" applyNumberFormat="1" applyFont="1" applyBorder="1"/>
    <xf numFmtId="0" fontId="2" fillId="0" borderId="6" xfId="0" applyFont="1" applyBorder="1"/>
    <xf numFmtId="168" fontId="2" fillId="0" borderId="7" xfId="1" applyNumberFormat="1" applyFont="1" applyBorder="1"/>
    <xf numFmtId="168" fontId="2" fillId="0" borderId="8" xfId="1" applyNumberFormat="1" applyFont="1" applyBorder="1"/>
    <xf numFmtId="168" fontId="2" fillId="0" borderId="0" xfId="1" applyNumberFormat="1" applyFont="1" applyBorder="1"/>
    <xf numFmtId="168" fontId="2" fillId="0" borderId="5" xfId="1" applyNumberFormat="1" applyFont="1" applyBorder="1"/>
    <xf numFmtId="0" fontId="2" fillId="0" borderId="1" xfId="0" applyFont="1" applyFill="1" applyBorder="1"/>
    <xf numFmtId="168" fontId="2" fillId="0" borderId="2" xfId="0" applyNumberFormat="1" applyFont="1" applyBorder="1"/>
    <xf numFmtId="168" fontId="2" fillId="0" borderId="3" xfId="0" applyNumberFormat="1" applyFont="1" applyBorder="1"/>
    <xf numFmtId="0" fontId="2" fillId="0" borderId="6" xfId="0" applyFont="1" applyFill="1" applyBorder="1"/>
    <xf numFmtId="168" fontId="2" fillId="0" borderId="7" xfId="0" applyNumberFormat="1" applyFont="1" applyBorder="1"/>
    <xf numFmtId="168" fontId="2" fillId="0" borderId="8" xfId="0" applyNumberFormat="1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Min - perfect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Sheet1!$C$11:$V$11</c:f>
              <c:numCache>
                <c:formatCode>0.00</c:formatCode>
                <c:ptCount val="20"/>
                <c:pt idx="0">
                  <c:v>115.42522378452503</c:v>
                </c:pt>
                <c:pt idx="1">
                  <c:v>94.442123919071975</c:v>
                </c:pt>
                <c:pt idx="2">
                  <c:v>56.388122441687983</c:v>
                </c:pt>
                <c:pt idx="3">
                  <c:v>80.390385631623985</c:v>
                </c:pt>
                <c:pt idx="4">
                  <c:v>100.61138286874404</c:v>
                </c:pt>
                <c:pt idx="5">
                  <c:v>54.803555505922006</c:v>
                </c:pt>
                <c:pt idx="6">
                  <c:v>81.590403809267002</c:v>
                </c:pt>
                <c:pt idx="7">
                  <c:v>87.171952285753036</c:v>
                </c:pt>
                <c:pt idx="8">
                  <c:v>61.337762665594994</c:v>
                </c:pt>
                <c:pt idx="9">
                  <c:v>50.968305205020016</c:v>
                </c:pt>
                <c:pt idx="10">
                  <c:v>91.611335377046998</c:v>
                </c:pt>
                <c:pt idx="11">
                  <c:v>73.87214209140501</c:v>
                </c:pt>
                <c:pt idx="12">
                  <c:v>51.197167582945994</c:v>
                </c:pt>
                <c:pt idx="13">
                  <c:v>52.19105197421689</c:v>
                </c:pt>
                <c:pt idx="14">
                  <c:v>74.666682768317997</c:v>
                </c:pt>
                <c:pt idx="15">
                  <c:v>94.908783002722942</c:v>
                </c:pt>
                <c:pt idx="16">
                  <c:v>71.092362410506013</c:v>
                </c:pt>
                <c:pt idx="17">
                  <c:v>69.16531926851502</c:v>
                </c:pt>
                <c:pt idx="18">
                  <c:v>90.536672599874976</c:v>
                </c:pt>
                <c:pt idx="19">
                  <c:v>93.871304978658031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7-461F-B794-EF9E6490E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508224"/>
        <c:axId val="1454509664"/>
      </c:lineChart>
      <c:lineChart>
        <c:grouping val="standard"/>
        <c:varyColors val="0"/>
        <c:ser>
          <c:idx val="1"/>
          <c:order val="1"/>
          <c:tx>
            <c:strRef>
              <c:f>Sheet1!$B$12</c:f>
              <c:strCache>
                <c:ptCount val="1"/>
                <c:pt idx="0">
                  <c:v>LSTM-CVX/Perfect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Sheet1!$C$12:$V$12</c:f>
              <c:numCache>
                <c:formatCode>0.0%</c:formatCode>
                <c:ptCount val="20"/>
                <c:pt idx="0">
                  <c:v>0.28442224929882648</c:v>
                </c:pt>
                <c:pt idx="1">
                  <c:v>0.49557045475730394</c:v>
                </c:pt>
                <c:pt idx="2">
                  <c:v>0.40613370637699142</c:v>
                </c:pt>
                <c:pt idx="3">
                  <c:v>0.21630772033302748</c:v>
                </c:pt>
                <c:pt idx="4">
                  <c:v>0.24679973707039929</c:v>
                </c:pt>
                <c:pt idx="5">
                  <c:v>0.47692529248925075</c:v>
                </c:pt>
                <c:pt idx="6">
                  <c:v>0.26294052255050826</c:v>
                </c:pt>
                <c:pt idx="7">
                  <c:v>0.26720315734997502</c:v>
                </c:pt>
                <c:pt idx="8">
                  <c:v>0.31399856046508356</c:v>
                </c:pt>
                <c:pt idx="9">
                  <c:v>0.25278067866126352</c:v>
                </c:pt>
                <c:pt idx="10">
                  <c:v>0.22386341658930142</c:v>
                </c:pt>
                <c:pt idx="11">
                  <c:v>0.25012965851499969</c:v>
                </c:pt>
                <c:pt idx="12">
                  <c:v>0.41212391588175795</c:v>
                </c:pt>
                <c:pt idx="13">
                  <c:v>0.77863297049000935</c:v>
                </c:pt>
                <c:pt idx="14">
                  <c:v>0.43124800111962253</c:v>
                </c:pt>
                <c:pt idx="15">
                  <c:v>0.21608308726054801</c:v>
                </c:pt>
                <c:pt idx="16">
                  <c:v>0.38735218555364642</c:v>
                </c:pt>
                <c:pt idx="17">
                  <c:v>0.17602507456090308</c:v>
                </c:pt>
                <c:pt idx="18">
                  <c:v>0.27640587993349847</c:v>
                </c:pt>
                <c:pt idx="19">
                  <c:v>0.17010657389474537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7-461F-B794-EF9E6490E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510624"/>
        <c:axId val="1459101616"/>
      </c:lineChart>
      <c:catAx>
        <c:axId val="1454508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509664"/>
        <c:crosses val="autoZero"/>
        <c:auto val="1"/>
        <c:lblAlgn val="ctr"/>
        <c:lblOffset val="100"/>
        <c:noMultiLvlLbl val="0"/>
      </c:catAx>
      <c:valAx>
        <c:axId val="145450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508224"/>
        <c:crosses val="autoZero"/>
        <c:crossBetween val="between"/>
      </c:valAx>
      <c:valAx>
        <c:axId val="145910161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510624"/>
        <c:crosses val="max"/>
        <c:crossBetween val="between"/>
      </c:valAx>
      <c:catAx>
        <c:axId val="1454510624"/>
        <c:scaling>
          <c:orientation val="minMax"/>
        </c:scaling>
        <c:delete val="1"/>
        <c:axPos val="b"/>
        <c:majorTickMark val="out"/>
        <c:minorTickMark val="none"/>
        <c:tickLblPos val="nextTo"/>
        <c:crossAx val="14591016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CVX/LSTM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Sheet1!$C$9:$V$9</c:f>
              <c:numCache>
                <c:formatCode>0.0%</c:formatCode>
                <c:ptCount val="20"/>
                <c:pt idx="0">
                  <c:v>1.9174558859425761E-2</c:v>
                </c:pt>
                <c:pt idx="1">
                  <c:v>9.3736924312283199E-3</c:v>
                </c:pt>
                <c:pt idx="2">
                  <c:v>3.4725105639407228E-2</c:v>
                </c:pt>
                <c:pt idx="3">
                  <c:v>1.5619333722975526E-2</c:v>
                </c:pt>
                <c:pt idx="4">
                  <c:v>1.855600498194232E-2</c:v>
                </c:pt>
                <c:pt idx="5">
                  <c:v>6.0989156251482934E-2</c:v>
                </c:pt>
                <c:pt idx="6">
                  <c:v>3.3886867434220536E-2</c:v>
                </c:pt>
                <c:pt idx="7">
                  <c:v>1.6112675954147893E-2</c:v>
                </c:pt>
                <c:pt idx="8">
                  <c:v>4.5624522645264731E-2</c:v>
                </c:pt>
                <c:pt idx="9">
                  <c:v>3.6854735281202644E-2</c:v>
                </c:pt>
                <c:pt idx="10">
                  <c:v>1.7999555048038296E-2</c:v>
                </c:pt>
                <c:pt idx="11">
                  <c:v>2.9241408774932864E-2</c:v>
                </c:pt>
                <c:pt idx="12">
                  <c:v>4.9951495440170635E-2</c:v>
                </c:pt>
                <c:pt idx="13">
                  <c:v>1.4970092412169844E-2</c:v>
                </c:pt>
                <c:pt idx="14">
                  <c:v>3.3077668616079747E-2</c:v>
                </c:pt>
                <c:pt idx="15">
                  <c:v>-9.1394905858521724E-5</c:v>
                </c:pt>
                <c:pt idx="16">
                  <c:v>5.5424331849215358E-2</c:v>
                </c:pt>
                <c:pt idx="17">
                  <c:v>6.8772532123347885E-3</c:v>
                </c:pt>
                <c:pt idx="18">
                  <c:v>3.0246900719615999E-3</c:v>
                </c:pt>
                <c:pt idx="19">
                  <c:v>5.5526324633717872E-3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3-4C67-B893-A20B3EFD90AF}"/>
            </c:ext>
          </c:extLst>
        </c:ser>
        <c:ser>
          <c:idx val="1"/>
          <c:order val="1"/>
          <c:tx>
            <c:strRef>
              <c:f>Sheet1!$B$10</c:f>
              <c:strCache>
                <c:ptCount val="1"/>
                <c:pt idx="0">
                  <c:v>LSTM-CVX/LSTM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Sheet1!$C$10:$V$10</c:f>
              <c:numCache>
                <c:formatCode>0.0%</c:formatCode>
                <c:ptCount val="20"/>
                <c:pt idx="0">
                  <c:v>4.9366806595388835E-2</c:v>
                </c:pt>
                <c:pt idx="1">
                  <c:v>5.6423075762104591E-2</c:v>
                </c:pt>
                <c:pt idx="2">
                  <c:v>6.7921481460070376E-2</c:v>
                </c:pt>
                <c:pt idx="3">
                  <c:v>4.3335228716296581E-2</c:v>
                </c:pt>
                <c:pt idx="4">
                  <c:v>3.2663302193131294E-2</c:v>
                </c:pt>
                <c:pt idx="5">
                  <c:v>9.5960236430258194E-2</c:v>
                </c:pt>
                <c:pt idx="6">
                  <c:v>4.4585414384635036E-2</c:v>
                </c:pt>
                <c:pt idx="7">
                  <c:v>4.2232918800448549E-2</c:v>
                </c:pt>
                <c:pt idx="8">
                  <c:v>5.4146977605701863E-2</c:v>
                </c:pt>
                <c:pt idx="9">
                  <c:v>5.5217527986612835E-2</c:v>
                </c:pt>
                <c:pt idx="10">
                  <c:v>4.0372417614172429E-2</c:v>
                </c:pt>
                <c:pt idx="11">
                  <c:v>5.7238873281171498E-2</c:v>
                </c:pt>
                <c:pt idx="12">
                  <c:v>7.8312903201865014E-2</c:v>
                </c:pt>
                <c:pt idx="13">
                  <c:v>0.1073489328493199</c:v>
                </c:pt>
                <c:pt idx="14">
                  <c:v>5.9181555138341335E-2</c:v>
                </c:pt>
                <c:pt idx="15">
                  <c:v>3.4546774600019758E-2</c:v>
                </c:pt>
                <c:pt idx="16">
                  <c:v>8.8597405923835471E-2</c:v>
                </c:pt>
                <c:pt idx="17">
                  <c:v>3.0797003742134343E-2</c:v>
                </c:pt>
                <c:pt idx="18">
                  <c:v>3.4957670202344193E-2</c:v>
                </c:pt>
                <c:pt idx="19">
                  <c:v>2.5169096796284651E-2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3-4C67-B893-A20B3EFD9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4670720"/>
        <c:axId val="1454672640"/>
      </c:lineChart>
      <c:catAx>
        <c:axId val="1454670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672640"/>
        <c:crosses val="autoZero"/>
        <c:auto val="1"/>
        <c:lblAlgn val="ctr"/>
        <c:lblOffset val="100"/>
        <c:noMultiLvlLbl val="0"/>
      </c:catAx>
      <c:valAx>
        <c:axId val="14546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67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Sheet1!$B$43</c:f>
              <c:strCache>
                <c:ptCount val="1"/>
                <c:pt idx="0">
                  <c:v>Difference cvx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Sheet1!$C$43:$V$43</c:f>
              <c:numCache>
                <c:formatCode>0.0%</c:formatCode>
                <c:ptCount val="20"/>
                <c:pt idx="0">
                  <c:v>-1.6575371161661079E-2</c:v>
                </c:pt>
                <c:pt idx="1">
                  <c:v>-3.4930705474256585E-2</c:v>
                </c:pt>
                <c:pt idx="2">
                  <c:v>-3.5535858039345114E-2</c:v>
                </c:pt>
                <c:pt idx="3">
                  <c:v>-3.6173388104351334E-2</c:v>
                </c:pt>
                <c:pt idx="4">
                  <c:v>-4.0529168702328477E-2</c:v>
                </c:pt>
                <c:pt idx="5">
                  <c:v>-0.10685372392531922</c:v>
                </c:pt>
                <c:pt idx="6">
                  <c:v>-4.7721510245675614E-2</c:v>
                </c:pt>
                <c:pt idx="7">
                  <c:v>-2.3360599291481376E-2</c:v>
                </c:pt>
                <c:pt idx="8">
                  <c:v>-7.481940782259433E-2</c:v>
                </c:pt>
                <c:pt idx="9">
                  <c:v>-4.3273382448537734E-2</c:v>
                </c:pt>
                <c:pt idx="10">
                  <c:v>-3.6307797335701775E-2</c:v>
                </c:pt>
                <c:pt idx="11">
                  <c:v>-1.0662300743988884E-2</c:v>
                </c:pt>
                <c:pt idx="12">
                  <c:v>-8.8230750332139674E-2</c:v>
                </c:pt>
                <c:pt idx="13">
                  <c:v>-5.8336787697361725E-2</c:v>
                </c:pt>
                <c:pt idx="14">
                  <c:v>-4.219591173455195E-2</c:v>
                </c:pt>
                <c:pt idx="15">
                  <c:v>-2.3918970339054324E-2</c:v>
                </c:pt>
                <c:pt idx="16">
                  <c:v>-6.8841955159220314E-2</c:v>
                </c:pt>
                <c:pt idx="17">
                  <c:v>-2.0442062063657063E-2</c:v>
                </c:pt>
                <c:pt idx="18">
                  <c:v>-2.9881573670780148E-2</c:v>
                </c:pt>
                <c:pt idx="19">
                  <c:v>-2.98139771786049E-2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75-4DD5-832A-C949BA33F456}"/>
            </c:ext>
          </c:extLst>
        </c:ser>
        <c:ser>
          <c:idx val="1"/>
          <c:order val="1"/>
          <c:tx>
            <c:strRef>
              <c:f>Sheet1!$B$44</c:f>
              <c:strCache>
                <c:ptCount val="1"/>
                <c:pt idx="0">
                  <c:v>Difference lstm-cvx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Sheet1!$C$44:$V$44</c:f>
              <c:numCache>
                <c:formatCode>0.0%</c:formatCode>
                <c:ptCount val="20"/>
                <c:pt idx="0">
                  <c:v>-2.263434262405295E-2</c:v>
                </c:pt>
                <c:pt idx="1">
                  <c:v>-2.3159532475708233E-2</c:v>
                </c:pt>
                <c:pt idx="2">
                  <c:v>-3.3288300098223589E-2</c:v>
                </c:pt>
                <c:pt idx="3">
                  <c:v>-3.0695713033223604E-2</c:v>
                </c:pt>
                <c:pt idx="4">
                  <c:v>-1.5332454262367623E-2</c:v>
                </c:pt>
                <c:pt idx="5">
                  <c:v>-0.10450791115397295</c:v>
                </c:pt>
                <c:pt idx="6">
                  <c:v>-1.680013582902018E-2</c:v>
                </c:pt>
                <c:pt idx="7">
                  <c:v>-2.9039213052521107E-2</c:v>
                </c:pt>
                <c:pt idx="8">
                  <c:v>-3.9632818086893895E-2</c:v>
                </c:pt>
                <c:pt idx="9">
                  <c:v>-3.8350475230442882E-2</c:v>
                </c:pt>
                <c:pt idx="10">
                  <c:v>-1.8473939427928743E-2</c:v>
                </c:pt>
                <c:pt idx="11">
                  <c:v>3.6036377921745411E-3</c:v>
                </c:pt>
                <c:pt idx="12">
                  <c:v>-4.7645771815462923E-2</c:v>
                </c:pt>
                <c:pt idx="13">
                  <c:v>-6.1088524953778145E-2</c:v>
                </c:pt>
                <c:pt idx="14">
                  <c:v>-3.1274075858938044E-2</c:v>
                </c:pt>
                <c:pt idx="15">
                  <c:v>-1.9977732699984374E-2</c:v>
                </c:pt>
                <c:pt idx="16">
                  <c:v>-4.2583376506326043E-2</c:v>
                </c:pt>
                <c:pt idx="17">
                  <c:v>-1.9596161250831412E-2</c:v>
                </c:pt>
                <c:pt idx="18">
                  <c:v>-2.4683325336451456E-2</c:v>
                </c:pt>
                <c:pt idx="19">
                  <c:v>-1.4026948838146813E-2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75-4DD5-832A-C949BA33F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99424"/>
        <c:axId val="94200384"/>
      </c:lineChart>
      <c:catAx>
        <c:axId val="94199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0384"/>
        <c:crosses val="autoZero"/>
        <c:auto val="1"/>
        <c:lblAlgn val="ctr"/>
        <c:lblOffset val="100"/>
        <c:noMultiLvlLbl val="0"/>
      </c:catAx>
      <c:valAx>
        <c:axId val="9420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Sheet1!$B$38</c:f>
              <c:strCache>
                <c:ptCount val="1"/>
                <c:pt idx="0">
                  <c:v>CVX/LSTM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Sheet1!$C$38:$V$38</c:f>
              <c:numCache>
                <c:formatCode>0.0%</c:formatCode>
                <c:ptCount val="20"/>
                <c:pt idx="0">
                  <c:v>2.5991876977646822E-3</c:v>
                </c:pt>
                <c:pt idx="1">
                  <c:v>-2.5557013043028265E-2</c:v>
                </c:pt>
                <c:pt idx="2">
                  <c:v>-8.1075239993788628E-4</c:v>
                </c:pt>
                <c:pt idx="3">
                  <c:v>-2.0554054381375808E-2</c:v>
                </c:pt>
                <c:pt idx="4">
                  <c:v>-2.1973163720386157E-2</c:v>
                </c:pt>
                <c:pt idx="5">
                  <c:v>-4.5864567673836287E-2</c:v>
                </c:pt>
                <c:pt idx="6">
                  <c:v>-1.3834642811455078E-2</c:v>
                </c:pt>
                <c:pt idx="7">
                  <c:v>-7.2479233373334839E-3</c:v>
                </c:pt>
                <c:pt idx="8">
                  <c:v>-2.9194885177329599E-2</c:v>
                </c:pt>
                <c:pt idx="9">
                  <c:v>-6.4186471673350898E-3</c:v>
                </c:pt>
                <c:pt idx="10">
                  <c:v>-1.8308242287663479E-2</c:v>
                </c:pt>
                <c:pt idx="11">
                  <c:v>1.857910803094398E-2</c:v>
                </c:pt>
                <c:pt idx="12">
                  <c:v>-3.8279254891969039E-2</c:v>
                </c:pt>
                <c:pt idx="13">
                  <c:v>-4.3366695285191881E-2</c:v>
                </c:pt>
                <c:pt idx="14">
                  <c:v>-9.1182431184722024E-3</c:v>
                </c:pt>
                <c:pt idx="15">
                  <c:v>-2.4010365244912846E-2</c:v>
                </c:pt>
                <c:pt idx="16">
                  <c:v>-1.3417623310004956E-2</c:v>
                </c:pt>
                <c:pt idx="17">
                  <c:v>-1.3564808851322274E-2</c:v>
                </c:pt>
                <c:pt idx="18">
                  <c:v>-2.6856883598818548E-2</c:v>
                </c:pt>
                <c:pt idx="19">
                  <c:v>-2.4261344715233113E-2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0-4698-AEBB-4CD21F31336C}"/>
            </c:ext>
          </c:extLst>
        </c:ser>
        <c:ser>
          <c:idx val="1"/>
          <c:order val="1"/>
          <c:tx>
            <c:strRef>
              <c:f>Sheet1!$B$39</c:f>
              <c:strCache>
                <c:ptCount val="1"/>
                <c:pt idx="0">
                  <c:v>LSTM-CVX/LSTM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Sheet1!$C$39:$V$39</c:f>
              <c:numCache>
                <c:formatCode>0.0%</c:formatCode>
                <c:ptCount val="20"/>
                <c:pt idx="0">
                  <c:v>2.6732463971335885E-2</c:v>
                </c:pt>
                <c:pt idx="1">
                  <c:v>3.3263543286396358E-2</c:v>
                </c:pt>
                <c:pt idx="2">
                  <c:v>3.4633181361846788E-2</c:v>
                </c:pt>
                <c:pt idx="3">
                  <c:v>1.2639515683072977E-2</c:v>
                </c:pt>
                <c:pt idx="4">
                  <c:v>1.7330847930763671E-2</c:v>
                </c:pt>
                <c:pt idx="5">
                  <c:v>-8.5476747237147599E-3</c:v>
                </c:pt>
                <c:pt idx="6">
                  <c:v>2.7785278555614856E-2</c:v>
                </c:pt>
                <c:pt idx="7">
                  <c:v>1.3193705747927442E-2</c:v>
                </c:pt>
                <c:pt idx="8">
                  <c:v>1.4514159518807968E-2</c:v>
                </c:pt>
                <c:pt idx="9">
                  <c:v>1.6867052756169953E-2</c:v>
                </c:pt>
                <c:pt idx="10">
                  <c:v>2.1898478186243686E-2</c:v>
                </c:pt>
                <c:pt idx="11">
                  <c:v>6.0842511073346039E-2</c:v>
                </c:pt>
                <c:pt idx="12">
                  <c:v>3.0667131386402091E-2</c:v>
                </c:pt>
                <c:pt idx="13">
                  <c:v>4.6260407895541755E-2</c:v>
                </c:pt>
                <c:pt idx="14">
                  <c:v>2.7907479279403291E-2</c:v>
                </c:pt>
                <c:pt idx="15">
                  <c:v>1.4569041900035384E-2</c:v>
                </c:pt>
                <c:pt idx="16">
                  <c:v>4.6014029417509428E-2</c:v>
                </c:pt>
                <c:pt idx="17">
                  <c:v>1.1200842491302931E-2</c:v>
                </c:pt>
                <c:pt idx="18">
                  <c:v>1.0274344865892737E-2</c:v>
                </c:pt>
                <c:pt idx="19">
                  <c:v>1.1142147958137838E-2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0-4698-AEBB-4CD21F313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99424"/>
        <c:axId val="94200384"/>
      </c:lineChart>
      <c:catAx>
        <c:axId val="94199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0384"/>
        <c:crosses val="autoZero"/>
        <c:auto val="1"/>
        <c:lblAlgn val="ctr"/>
        <c:lblOffset val="100"/>
        <c:noMultiLvlLbl val="0"/>
      </c:catAx>
      <c:valAx>
        <c:axId val="9420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44451</xdr:colOff>
      <xdr:row>13</xdr:row>
      <xdr:rowOff>31750</xdr:rowOff>
    </xdr:from>
    <xdr:to>
      <xdr:col>10</xdr:col>
      <xdr:colOff>12701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0440A-4A42-08A8-09DF-C6667F901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155575</xdr:colOff>
      <xdr:row>13</xdr:row>
      <xdr:rowOff>31750</xdr:rowOff>
    </xdr:from>
    <xdr:to>
      <xdr:col>18</xdr:col>
      <xdr:colOff>460375</xdr:colOff>
      <xdr:row>28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63A498-D59B-3819-7773-70C05090A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231775</xdr:colOff>
      <xdr:row>44</xdr:row>
      <xdr:rowOff>139700</xdr:rowOff>
    </xdr:from>
    <xdr:to>
      <xdr:col>18</xdr:col>
      <xdr:colOff>536575</xdr:colOff>
      <xdr:row>59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1C30EF-844C-3820-B851-BC671E290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431800</xdr:colOff>
      <xdr:row>44</xdr:row>
      <xdr:rowOff>177800</xdr:rowOff>
    </xdr:from>
    <xdr:to>
      <xdr:col>10</xdr:col>
      <xdr:colOff>114300</xdr:colOff>
      <xdr:row>59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51AEA0-0CA0-4A88-9C41-2A825D9F1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0DA1-F06F-4AA1-9309-879179F5A8B5}">
  <dimension ref="B2:V44"/>
  <sheetViews>
    <sheetView showGridLines="0" tabSelected="1" topLeftCell="A24" workbookViewId="0">
      <selection activeCell="W53" sqref="W53"/>
    </sheetView>
  </sheetViews>
  <sheetFormatPr defaultRowHeight="14.5" x14ac:dyDescent="0.35"/>
  <cols>
    <col min="2" max="2" width="13.54296875" bestFit="1" customWidth="1"/>
    <col min="3" max="3" width="8.90625" bestFit="1" customWidth="1"/>
  </cols>
  <sheetData>
    <row r="2" spans="2:22" x14ac:dyDescent="0.35">
      <c r="B2" t="s">
        <v>5</v>
      </c>
      <c r="C2">
        <v>0</v>
      </c>
      <c r="D2">
        <f>C2+1</f>
        <v>1</v>
      </c>
      <c r="E2">
        <f t="shared" ref="E2:V2" si="0">D2+1</f>
        <v>2</v>
      </c>
      <c r="F2">
        <f t="shared" si="0"/>
        <v>3</v>
      </c>
      <c r="G2">
        <f t="shared" si="0"/>
        <v>4</v>
      </c>
      <c r="H2">
        <f t="shared" si="0"/>
        <v>5</v>
      </c>
      <c r="I2">
        <f t="shared" si="0"/>
        <v>6</v>
      </c>
      <c r="J2">
        <f t="shared" si="0"/>
        <v>7</v>
      </c>
      <c r="K2">
        <f t="shared" si="0"/>
        <v>8</v>
      </c>
      <c r="L2">
        <f t="shared" si="0"/>
        <v>9</v>
      </c>
      <c r="M2">
        <f t="shared" si="0"/>
        <v>10</v>
      </c>
      <c r="N2">
        <f t="shared" si="0"/>
        <v>11</v>
      </c>
      <c r="O2">
        <f t="shared" si="0"/>
        <v>12</v>
      </c>
      <c r="P2">
        <f t="shared" si="0"/>
        <v>13</v>
      </c>
      <c r="Q2">
        <f t="shared" si="0"/>
        <v>14</v>
      </c>
      <c r="R2">
        <f t="shared" si="0"/>
        <v>15</v>
      </c>
      <c r="S2">
        <f t="shared" si="0"/>
        <v>16</v>
      </c>
      <c r="T2">
        <f t="shared" si="0"/>
        <v>17</v>
      </c>
      <c r="U2">
        <f t="shared" si="0"/>
        <v>18</v>
      </c>
      <c r="V2">
        <f t="shared" si="0"/>
        <v>19</v>
      </c>
    </row>
    <row r="3" spans="2:22" x14ac:dyDescent="0.35">
      <c r="B3" t="s">
        <v>0</v>
      </c>
      <c r="C3" s="1">
        <v>405.82346869514498</v>
      </c>
      <c r="D3" s="1">
        <v>190.572547278516</v>
      </c>
      <c r="E3" s="1">
        <v>138.84127703832101</v>
      </c>
      <c r="F3" s="1">
        <v>371.64824957636699</v>
      </c>
      <c r="G3" s="1">
        <v>407.66406019324398</v>
      </c>
      <c r="H3" s="1">
        <v>114.910147079602</v>
      </c>
      <c r="I3" s="1">
        <v>310.29984658828801</v>
      </c>
      <c r="J3" s="1">
        <v>326.23848142474498</v>
      </c>
      <c r="K3" s="1">
        <v>195.344088758699</v>
      </c>
      <c r="L3" s="1">
        <v>201.63054183947199</v>
      </c>
      <c r="M3" s="1">
        <v>409.22870191477801</v>
      </c>
      <c r="N3" s="1">
        <v>295.335397369421</v>
      </c>
      <c r="O3" s="1">
        <v>124.22760633390401</v>
      </c>
      <c r="P3" s="1">
        <v>67.029080391204104</v>
      </c>
      <c r="Q3" s="1">
        <v>173.14093647846599</v>
      </c>
      <c r="R3" s="1">
        <v>439.22356074209603</v>
      </c>
      <c r="S3" s="1">
        <v>183.534171386933</v>
      </c>
      <c r="T3" s="1">
        <v>392.928788361822</v>
      </c>
      <c r="U3" s="1">
        <v>327.54973454854701</v>
      </c>
      <c r="V3" s="1">
        <v>551.83819666335501</v>
      </c>
    </row>
    <row r="4" spans="2:22" x14ac:dyDescent="0.35">
      <c r="B4" t="s">
        <v>1</v>
      </c>
      <c r="C4" s="1">
        <v>579.58675738352895</v>
      </c>
      <c r="D4" s="1">
        <v>327.13776604431303</v>
      </c>
      <c r="E4" s="1">
        <v>217.994074438925</v>
      </c>
      <c r="F4" s="1">
        <v>489.10487053330701</v>
      </c>
      <c r="G4" s="1">
        <v>550.59243422058205</v>
      </c>
      <c r="H4" s="1">
        <v>192.10412705330501</v>
      </c>
      <c r="I4" s="1">
        <v>426.138064315919</v>
      </c>
      <c r="J4" s="1">
        <v>457.81634760290098</v>
      </c>
      <c r="K4" s="1">
        <v>280.76555313223002</v>
      </c>
      <c r="L4" s="1">
        <v>280.024015949351</v>
      </c>
      <c r="M4" s="1">
        <v>541.269432181448</v>
      </c>
      <c r="N4" s="1">
        <v>405.02972964304502</v>
      </c>
      <c r="O4" s="1">
        <v>199.04886501196299</v>
      </c>
      <c r="P4" s="1">
        <v>140.77191513183101</v>
      </c>
      <c r="Q4" s="1">
        <v>280.401404131243</v>
      </c>
      <c r="R4" s="1">
        <v>578.66174635623599</v>
      </c>
      <c r="S4" s="1">
        <v>285.99810729064302</v>
      </c>
      <c r="T4" s="1">
        <v>495.99877244245101</v>
      </c>
      <c r="U4" s="1">
        <v>453.006921433434</v>
      </c>
      <c r="V4" s="1">
        <v>679.86869624676797</v>
      </c>
    </row>
    <row r="5" spans="2:22" x14ac:dyDescent="0.35">
      <c r="B5" t="s">
        <v>2</v>
      </c>
      <c r="C5" s="1">
        <v>548.31737003929197</v>
      </c>
      <c r="D5" s="1">
        <v>302.05769543144299</v>
      </c>
      <c r="E5" s="1">
        <v>209.455958480654</v>
      </c>
      <c r="F5" s="1">
        <v>472.515188995014</v>
      </c>
      <c r="G5" s="1">
        <v>525.43798267381203</v>
      </c>
      <c r="H5" s="1">
        <v>187.72813920859301</v>
      </c>
      <c r="I5" s="1">
        <v>410.178216135507</v>
      </c>
      <c r="J5" s="1">
        <v>431.63984420170698</v>
      </c>
      <c r="K5" s="1">
        <v>271.37604400157102</v>
      </c>
      <c r="L5" s="1">
        <v>267.36191083878703</v>
      </c>
      <c r="M5" s="1">
        <v>521.91083966827603</v>
      </c>
      <c r="N5" s="1">
        <v>391.62363508326899</v>
      </c>
      <c r="O5" s="1">
        <v>190.330074627562</v>
      </c>
      <c r="P5" s="1">
        <v>133.55737393108001</v>
      </c>
      <c r="Q5" s="1">
        <v>263.39579182381198</v>
      </c>
      <c r="R5" s="1">
        <v>553.24518028673197</v>
      </c>
      <c r="S5" s="1">
        <v>279.37876790392397</v>
      </c>
      <c r="T5" s="1">
        <v>476.77742373321399</v>
      </c>
      <c r="U5" s="1">
        <v>433.23115913069199</v>
      </c>
      <c r="V5" s="1">
        <v>662.38103400285399</v>
      </c>
    </row>
    <row r="6" spans="2:22" x14ac:dyDescent="0.35">
      <c r="B6" t="s">
        <v>3</v>
      </c>
      <c r="C6" s="1">
        <v>537.80362635382801</v>
      </c>
      <c r="D6" s="1">
        <v>299.22629949798301</v>
      </c>
      <c r="E6" s="1">
        <v>202.18257819561001</v>
      </c>
      <c r="F6" s="1">
        <v>465.134816568926</v>
      </c>
      <c r="G6" s="1">
        <v>515.68795284961504</v>
      </c>
      <c r="H6" s="1">
        <v>176.27875839359999</v>
      </c>
      <c r="I6" s="1">
        <v>396.278561300918</v>
      </c>
      <c r="J6" s="1">
        <v>424.68497126318601</v>
      </c>
      <c r="K6" s="1">
        <v>258.99464153663899</v>
      </c>
      <c r="L6" s="1">
        <v>257.50835839054702</v>
      </c>
      <c r="M6" s="1">
        <v>512.51667677949899</v>
      </c>
      <c r="N6" s="1">
        <v>380.17200828387399</v>
      </c>
      <c r="O6" s="1">
        <v>180.822802772676</v>
      </c>
      <c r="P6" s="1">
        <v>131.55800770100501</v>
      </c>
      <c r="Q6" s="1">
        <v>254.68327310699399</v>
      </c>
      <c r="R6" s="1">
        <v>553.29574407790096</v>
      </c>
      <c r="S6" s="1">
        <v>263.89438635999198</v>
      </c>
      <c r="T6" s="1">
        <v>473.49850466427603</v>
      </c>
      <c r="U6" s="1">
        <v>431.92076914480498</v>
      </c>
      <c r="V6" s="1">
        <v>658.703075570328</v>
      </c>
    </row>
    <row r="7" spans="2:22" x14ac:dyDescent="0.35">
      <c r="B7" t="s">
        <v>4</v>
      </c>
      <c r="C7" s="1">
        <v>521.24869247967001</v>
      </c>
      <c r="D7" s="1">
        <v>285.01467119758797</v>
      </c>
      <c r="E7" s="1">
        <v>195.22939948000899</v>
      </c>
      <c r="F7" s="1">
        <v>452.03863520799098</v>
      </c>
      <c r="G7" s="1">
        <v>508.27544306198803</v>
      </c>
      <c r="H7" s="1">
        <v>169.713702585524</v>
      </c>
      <c r="I7" s="1">
        <v>391.89025039755501</v>
      </c>
      <c r="J7" s="1">
        <v>413.41043371049801</v>
      </c>
      <c r="K7" s="1">
        <v>256.681851424294</v>
      </c>
      <c r="L7" s="1">
        <v>252.598847044492</v>
      </c>
      <c r="M7" s="1">
        <v>500.84003729182501</v>
      </c>
      <c r="N7" s="1">
        <v>369.20753946082601</v>
      </c>
      <c r="O7" s="1">
        <v>175.42477391685</v>
      </c>
      <c r="P7" s="1">
        <v>119.22013236542099</v>
      </c>
      <c r="Q7" s="1">
        <v>247.80761924678399</v>
      </c>
      <c r="R7" s="1">
        <v>534.13234374481897</v>
      </c>
      <c r="S7" s="1">
        <v>254.62653379743901</v>
      </c>
      <c r="T7" s="1">
        <v>462.09410763033702</v>
      </c>
      <c r="U7" s="1">
        <v>418.08640714842198</v>
      </c>
      <c r="V7" s="1">
        <v>645.70950164201304</v>
      </c>
    </row>
    <row r="9" spans="2:22" x14ac:dyDescent="0.35">
      <c r="B9" s="2" t="s">
        <v>9</v>
      </c>
      <c r="C9" s="3">
        <f>1-C6/C5</f>
        <v>1.9174558859425761E-2</v>
      </c>
      <c r="D9" s="3">
        <f t="shared" ref="D9:V9" si="1">1-D6/D5</f>
        <v>9.3736924312283199E-3</v>
      </c>
      <c r="E9" s="3">
        <f t="shared" si="1"/>
        <v>3.4725105639407228E-2</v>
      </c>
      <c r="F9" s="3">
        <f t="shared" si="1"/>
        <v>1.5619333722975526E-2</v>
      </c>
      <c r="G9" s="3">
        <f t="shared" si="1"/>
        <v>1.855600498194232E-2</v>
      </c>
      <c r="H9" s="3">
        <f t="shared" si="1"/>
        <v>6.0989156251482934E-2</v>
      </c>
      <c r="I9" s="3">
        <f t="shared" si="1"/>
        <v>3.3886867434220536E-2</v>
      </c>
      <c r="J9" s="3">
        <f t="shared" si="1"/>
        <v>1.6112675954147893E-2</v>
      </c>
      <c r="K9" s="3">
        <f t="shared" si="1"/>
        <v>4.5624522645264731E-2</v>
      </c>
      <c r="L9" s="3">
        <f t="shared" si="1"/>
        <v>3.6854735281202644E-2</v>
      </c>
      <c r="M9" s="3">
        <f t="shared" si="1"/>
        <v>1.7999555048038296E-2</v>
      </c>
      <c r="N9" s="3">
        <f t="shared" si="1"/>
        <v>2.9241408774932864E-2</v>
      </c>
      <c r="O9" s="3">
        <f t="shared" si="1"/>
        <v>4.9951495440170635E-2</v>
      </c>
      <c r="P9" s="3">
        <f t="shared" si="1"/>
        <v>1.4970092412169844E-2</v>
      </c>
      <c r="Q9" s="3">
        <f t="shared" si="1"/>
        <v>3.3077668616079747E-2</v>
      </c>
      <c r="R9" s="3">
        <f t="shared" si="1"/>
        <v>-9.1394905858521724E-5</v>
      </c>
      <c r="S9" s="3">
        <f t="shared" si="1"/>
        <v>5.5424331849215358E-2</v>
      </c>
      <c r="T9" s="3">
        <f t="shared" si="1"/>
        <v>6.8772532123347885E-3</v>
      </c>
      <c r="U9" s="3">
        <f t="shared" si="1"/>
        <v>3.0246900719615999E-3</v>
      </c>
      <c r="V9" s="4">
        <f t="shared" si="1"/>
        <v>5.5526324633717872E-3</v>
      </c>
    </row>
    <row r="10" spans="2:22" x14ac:dyDescent="0.35">
      <c r="B10" s="5" t="s">
        <v>6</v>
      </c>
      <c r="C10" s="11">
        <f>1-C7/C5</f>
        <v>4.9366806595388835E-2</v>
      </c>
      <c r="D10" s="11">
        <f>1-D7/D5</f>
        <v>5.6423075762104591E-2</v>
      </c>
      <c r="E10" s="11">
        <f>1-E7/E5</f>
        <v>6.7921481460070376E-2</v>
      </c>
      <c r="F10" s="11">
        <f>1-F7/F5</f>
        <v>4.3335228716296581E-2</v>
      </c>
      <c r="G10" s="11">
        <f>1-G7/G5</f>
        <v>3.2663302193131294E-2</v>
      </c>
      <c r="H10" s="11">
        <f>1-H7/H5</f>
        <v>9.5960236430258194E-2</v>
      </c>
      <c r="I10" s="11">
        <f>1-I7/I5</f>
        <v>4.4585414384635036E-2</v>
      </c>
      <c r="J10" s="11">
        <f>1-J7/J5</f>
        <v>4.2232918800448549E-2</v>
      </c>
      <c r="K10" s="11">
        <f>1-K7/K5</f>
        <v>5.4146977605701863E-2</v>
      </c>
      <c r="L10" s="11">
        <f>1-L7/L5</f>
        <v>5.5217527986612835E-2</v>
      </c>
      <c r="M10" s="11">
        <f>1-M7/M5</f>
        <v>4.0372417614172429E-2</v>
      </c>
      <c r="N10" s="11">
        <f>1-N7/N5</f>
        <v>5.7238873281171498E-2</v>
      </c>
      <c r="O10" s="11">
        <f>1-O7/O5</f>
        <v>7.8312903201865014E-2</v>
      </c>
      <c r="P10" s="11">
        <f>1-P7/P5</f>
        <v>0.1073489328493199</v>
      </c>
      <c r="Q10" s="11">
        <f>1-Q7/Q5</f>
        <v>5.9181555138341335E-2</v>
      </c>
      <c r="R10" s="11">
        <f>1-R7/R5</f>
        <v>3.4546774600019758E-2</v>
      </c>
      <c r="S10" s="11">
        <f>1-S7/S5</f>
        <v>8.8597405923835471E-2</v>
      </c>
      <c r="T10" s="11">
        <f>1-T7/T5</f>
        <v>3.0797003742134343E-2</v>
      </c>
      <c r="U10" s="11">
        <f>1-U7/U5</f>
        <v>3.4957670202344193E-2</v>
      </c>
      <c r="V10" s="12">
        <f>1-V7/V5</f>
        <v>2.5169096796284651E-2</v>
      </c>
    </row>
    <row r="11" spans="2:22" x14ac:dyDescent="0.35">
      <c r="B11" s="5" t="s">
        <v>8</v>
      </c>
      <c r="C11" s="6">
        <f>C7-C3</f>
        <v>115.42522378452503</v>
      </c>
      <c r="D11" s="6">
        <f t="shared" ref="D11:V11" si="2">D7-D3</f>
        <v>94.442123919071975</v>
      </c>
      <c r="E11" s="6">
        <f t="shared" si="2"/>
        <v>56.388122441687983</v>
      </c>
      <c r="F11" s="6">
        <f t="shared" si="2"/>
        <v>80.390385631623985</v>
      </c>
      <c r="G11" s="6">
        <f t="shared" si="2"/>
        <v>100.61138286874404</v>
      </c>
      <c r="H11" s="6">
        <f t="shared" si="2"/>
        <v>54.803555505922006</v>
      </c>
      <c r="I11" s="6">
        <f t="shared" si="2"/>
        <v>81.590403809267002</v>
      </c>
      <c r="J11" s="6">
        <f t="shared" si="2"/>
        <v>87.171952285753036</v>
      </c>
      <c r="K11" s="6">
        <f t="shared" si="2"/>
        <v>61.337762665594994</v>
      </c>
      <c r="L11" s="6">
        <f t="shared" si="2"/>
        <v>50.968305205020016</v>
      </c>
      <c r="M11" s="6">
        <f t="shared" si="2"/>
        <v>91.611335377046998</v>
      </c>
      <c r="N11" s="6">
        <f t="shared" si="2"/>
        <v>73.87214209140501</v>
      </c>
      <c r="O11" s="6">
        <f t="shared" si="2"/>
        <v>51.197167582945994</v>
      </c>
      <c r="P11" s="6">
        <f t="shared" si="2"/>
        <v>52.19105197421689</v>
      </c>
      <c r="Q11" s="6">
        <f t="shared" si="2"/>
        <v>74.666682768317997</v>
      </c>
      <c r="R11" s="6">
        <f t="shared" si="2"/>
        <v>94.908783002722942</v>
      </c>
      <c r="S11" s="6">
        <f t="shared" si="2"/>
        <v>71.092362410506013</v>
      </c>
      <c r="T11" s="6">
        <f t="shared" si="2"/>
        <v>69.16531926851502</v>
      </c>
      <c r="U11" s="6">
        <f t="shared" si="2"/>
        <v>90.536672599874976</v>
      </c>
      <c r="V11" s="7">
        <f t="shared" si="2"/>
        <v>93.871304978658031</v>
      </c>
    </row>
    <row r="12" spans="2:22" x14ac:dyDescent="0.35">
      <c r="B12" s="8" t="s">
        <v>7</v>
      </c>
      <c r="C12" s="9">
        <f>(C7-C3)/C3</f>
        <v>0.28442224929882648</v>
      </c>
      <c r="D12" s="9">
        <f t="shared" ref="D12:V12" si="3">(D7-D3)/D3</f>
        <v>0.49557045475730394</v>
      </c>
      <c r="E12" s="9">
        <f t="shared" si="3"/>
        <v>0.40613370637699142</v>
      </c>
      <c r="F12" s="9">
        <f t="shared" si="3"/>
        <v>0.21630772033302748</v>
      </c>
      <c r="G12" s="9">
        <f t="shared" si="3"/>
        <v>0.24679973707039929</v>
      </c>
      <c r="H12" s="9">
        <f t="shared" si="3"/>
        <v>0.47692529248925075</v>
      </c>
      <c r="I12" s="9">
        <f t="shared" si="3"/>
        <v>0.26294052255050826</v>
      </c>
      <c r="J12" s="9">
        <f t="shared" si="3"/>
        <v>0.26720315734997502</v>
      </c>
      <c r="K12" s="9">
        <f t="shared" si="3"/>
        <v>0.31399856046508356</v>
      </c>
      <c r="L12" s="9">
        <f t="shared" si="3"/>
        <v>0.25278067866126352</v>
      </c>
      <c r="M12" s="9">
        <f t="shared" si="3"/>
        <v>0.22386341658930142</v>
      </c>
      <c r="N12" s="9">
        <f t="shared" si="3"/>
        <v>0.25012965851499969</v>
      </c>
      <c r="O12" s="9">
        <f t="shared" si="3"/>
        <v>0.41212391588175795</v>
      </c>
      <c r="P12" s="9">
        <f t="shared" si="3"/>
        <v>0.77863297049000935</v>
      </c>
      <c r="Q12" s="9">
        <f t="shared" si="3"/>
        <v>0.43124800111962253</v>
      </c>
      <c r="R12" s="9">
        <f t="shared" si="3"/>
        <v>0.21608308726054801</v>
      </c>
      <c r="S12" s="9">
        <f t="shared" si="3"/>
        <v>0.38735218555364642</v>
      </c>
      <c r="T12" s="9">
        <f t="shared" si="3"/>
        <v>0.17602507456090308</v>
      </c>
      <c r="U12" s="9">
        <f t="shared" si="3"/>
        <v>0.27640587993349847</v>
      </c>
      <c r="V12" s="10">
        <f t="shared" si="3"/>
        <v>0.17010657389474537</v>
      </c>
    </row>
    <row r="31" spans="2:22" x14ac:dyDescent="0.35">
      <c r="B31" t="s">
        <v>5</v>
      </c>
      <c r="C31">
        <v>0</v>
      </c>
      <c r="D31">
        <f>C31+1</f>
        <v>1</v>
      </c>
      <c r="E31">
        <f t="shared" ref="E31:V31" si="4">D31+1</f>
        <v>2</v>
      </c>
      <c r="F31">
        <f t="shared" si="4"/>
        <v>3</v>
      </c>
      <c r="G31">
        <f t="shared" si="4"/>
        <v>4</v>
      </c>
      <c r="H31">
        <f t="shared" si="4"/>
        <v>5</v>
      </c>
      <c r="I31">
        <f t="shared" si="4"/>
        <v>6</v>
      </c>
      <c r="J31">
        <f t="shared" si="4"/>
        <v>7</v>
      </c>
      <c r="K31">
        <f t="shared" si="4"/>
        <v>8</v>
      </c>
      <c r="L31">
        <f t="shared" si="4"/>
        <v>9</v>
      </c>
      <c r="M31">
        <f t="shared" si="4"/>
        <v>10</v>
      </c>
      <c r="N31">
        <f t="shared" si="4"/>
        <v>11</v>
      </c>
      <c r="O31">
        <f t="shared" si="4"/>
        <v>12</v>
      </c>
      <c r="P31">
        <f t="shared" si="4"/>
        <v>13</v>
      </c>
      <c r="Q31">
        <f t="shared" si="4"/>
        <v>14</v>
      </c>
      <c r="R31">
        <f t="shared" si="4"/>
        <v>15</v>
      </c>
      <c r="S31">
        <f t="shared" si="4"/>
        <v>16</v>
      </c>
      <c r="T31">
        <f t="shared" si="4"/>
        <v>17</v>
      </c>
      <c r="U31">
        <f t="shared" si="4"/>
        <v>18</v>
      </c>
      <c r="V31">
        <f t="shared" si="4"/>
        <v>19</v>
      </c>
    </row>
    <row r="32" spans="2:22" x14ac:dyDescent="0.35">
      <c r="B32" t="s">
        <v>0</v>
      </c>
      <c r="C32" s="1">
        <v>405.82346869514498</v>
      </c>
      <c r="D32" s="1">
        <v>190.572547278516</v>
      </c>
      <c r="E32" s="1">
        <v>138.84127703832101</v>
      </c>
      <c r="F32" s="1">
        <v>371.64824957636699</v>
      </c>
      <c r="G32" s="1">
        <v>407.66406019324398</v>
      </c>
      <c r="H32" s="1">
        <v>114.910147079602</v>
      </c>
      <c r="I32" s="1">
        <v>310.29984658828801</v>
      </c>
      <c r="J32" s="1">
        <v>326.23848142474498</v>
      </c>
      <c r="K32" s="1">
        <v>195.344088758699</v>
      </c>
      <c r="L32" s="1">
        <v>201.63054183947199</v>
      </c>
      <c r="M32" s="1">
        <v>409.22870191477801</v>
      </c>
      <c r="N32" s="1">
        <v>295.335397369421</v>
      </c>
      <c r="O32" s="1">
        <v>124.22760633390401</v>
      </c>
      <c r="P32" s="1">
        <v>67.029080391204104</v>
      </c>
      <c r="Q32" s="1">
        <v>173.14093647846599</v>
      </c>
      <c r="R32" s="1">
        <v>439.22356074209603</v>
      </c>
      <c r="S32" s="1">
        <v>183.534171386933</v>
      </c>
      <c r="T32" s="1">
        <v>392.928788361822</v>
      </c>
      <c r="U32" s="1">
        <v>327.54973454854701</v>
      </c>
      <c r="V32" s="1">
        <v>551.83819666335501</v>
      </c>
    </row>
    <row r="33" spans="2:22" x14ac:dyDescent="0.35">
      <c r="B33" t="s">
        <v>1</v>
      </c>
      <c r="C33" s="1">
        <v>735.11175182890099</v>
      </c>
      <c r="D33" s="1">
        <v>448.60049355421501</v>
      </c>
      <c r="E33" s="1">
        <v>280.55962808533098</v>
      </c>
      <c r="F33" s="1">
        <v>588.37276709382502</v>
      </c>
      <c r="G33" s="1">
        <v>678.85682818089299</v>
      </c>
      <c r="H33" s="1">
        <v>254.50126399551601</v>
      </c>
      <c r="I33" s="1">
        <v>532.38164814194295</v>
      </c>
      <c r="J33" s="1">
        <v>575.60108799889997</v>
      </c>
      <c r="K33" s="1">
        <v>347.448728161823</v>
      </c>
      <c r="L33" s="1">
        <v>345.51484424108799</v>
      </c>
      <c r="M33" s="1">
        <v>650.47844289285297</v>
      </c>
      <c r="N33" s="1">
        <v>557.70014326093803</v>
      </c>
      <c r="O33" s="1">
        <v>267.73961951610698</v>
      </c>
      <c r="P33" s="1">
        <v>203.11340964435499</v>
      </c>
      <c r="Q33" s="1">
        <v>378.35876578842698</v>
      </c>
      <c r="R33" s="1">
        <v>713.81634588561406</v>
      </c>
      <c r="S33" s="1">
        <v>373.92823585604799</v>
      </c>
      <c r="T33" s="1">
        <v>577.38656259988704</v>
      </c>
      <c r="U33" s="1">
        <v>570.05177496077704</v>
      </c>
      <c r="V33" s="1">
        <v>815.00780785480595</v>
      </c>
    </row>
    <row r="34" spans="2:22" x14ac:dyDescent="0.35">
      <c r="B34" t="s">
        <v>2</v>
      </c>
      <c r="C34" s="1">
        <v>708.85782555583899</v>
      </c>
      <c r="D34" s="1">
        <v>432.019638255377</v>
      </c>
      <c r="E34" s="1">
        <v>275.343618945912</v>
      </c>
      <c r="F34" s="1">
        <v>577.621071798451</v>
      </c>
      <c r="G34" s="1">
        <v>667.260583232317</v>
      </c>
      <c r="H34" s="1">
        <v>252.24567931370001</v>
      </c>
      <c r="I34" s="1">
        <v>521.04849223785698</v>
      </c>
      <c r="J34" s="1">
        <v>560.08698451196994</v>
      </c>
      <c r="K34" s="1">
        <v>338.20781826298497</v>
      </c>
      <c r="L34" s="1">
        <v>334.703353735517</v>
      </c>
      <c r="M34" s="1">
        <v>638.80380590787399</v>
      </c>
      <c r="N34" s="1">
        <v>552.45697264119201</v>
      </c>
      <c r="O34" s="1">
        <v>261.44420784890002</v>
      </c>
      <c r="P34" s="1">
        <v>197.63181856606801</v>
      </c>
      <c r="Q34" s="1">
        <v>367.69172296962898</v>
      </c>
      <c r="R34" s="1">
        <v>699.725344624635</v>
      </c>
      <c r="S34" s="1">
        <v>369.194204497545</v>
      </c>
      <c r="T34" s="1">
        <v>565.73804796614797</v>
      </c>
      <c r="U34" s="1">
        <v>560.60166524306806</v>
      </c>
      <c r="V34" s="1">
        <v>802.78081218685395</v>
      </c>
    </row>
    <row r="35" spans="2:22" x14ac:dyDescent="0.35">
      <c r="B35" t="s">
        <v>3</v>
      </c>
      <c r="C35" s="1">
        <v>707.01537101618999</v>
      </c>
      <c r="D35" s="1">
        <v>443.06076978511402</v>
      </c>
      <c r="E35" s="1">
        <v>275.56685444578</v>
      </c>
      <c r="F35" s="1">
        <v>589.49352672002499</v>
      </c>
      <c r="G35" s="1">
        <v>681.92240927184105</v>
      </c>
      <c r="H35" s="1">
        <v>263.81481834301599</v>
      </c>
      <c r="I35" s="1">
        <v>528.25701201541494</v>
      </c>
      <c r="J35" s="1">
        <v>564.14645203795101</v>
      </c>
      <c r="K35" s="1">
        <v>348.08175668324799</v>
      </c>
      <c r="L35" s="1">
        <v>336.85169646886902</v>
      </c>
      <c r="M35" s="1">
        <v>650.49918076071697</v>
      </c>
      <c r="N35" s="1">
        <v>542.19281486404304</v>
      </c>
      <c r="O35" s="1">
        <v>271.45209732117701</v>
      </c>
      <c r="P35" s="1">
        <v>206.20245742048101</v>
      </c>
      <c r="Q35" s="1">
        <v>371.04442549231601</v>
      </c>
      <c r="R35" s="1">
        <v>716.52600572019503</v>
      </c>
      <c r="S35" s="1">
        <v>374.14791326173003</v>
      </c>
      <c r="T35" s="1">
        <v>573.41217644672895</v>
      </c>
      <c r="U35" s="1">
        <v>575.65767891180496</v>
      </c>
      <c r="V35" s="1">
        <v>822.25735420209401</v>
      </c>
    </row>
    <row r="36" spans="2:22" x14ac:dyDescent="0.35">
      <c r="B36" t="s">
        <v>4</v>
      </c>
      <c r="C36" s="1">
        <v>689.90830927336799</v>
      </c>
      <c r="D36" s="1">
        <v>417.649134317696</v>
      </c>
      <c r="E36" s="1">
        <v>265.80759345413099</v>
      </c>
      <c r="F36" s="1">
        <v>570.32022120258102</v>
      </c>
      <c r="G36" s="1">
        <v>655.69639153412504</v>
      </c>
      <c r="H36" s="1">
        <v>254.40179333093599</v>
      </c>
      <c r="I36" s="1">
        <v>506.57101474004497</v>
      </c>
      <c r="J36" s="1">
        <v>552.69736164507503</v>
      </c>
      <c r="K36" s="1">
        <v>333.29901603820798</v>
      </c>
      <c r="L36" s="1">
        <v>329.05789461039302</v>
      </c>
      <c r="M36" s="1">
        <v>624.81497469891099</v>
      </c>
      <c r="N36" s="1">
        <v>518.84410316572303</v>
      </c>
      <c r="O36" s="1">
        <v>253.42646397658399</v>
      </c>
      <c r="P36" s="1">
        <v>188.489290026064</v>
      </c>
      <c r="Q36" s="1">
        <v>357.43037382964599</v>
      </c>
      <c r="R36" s="1">
        <v>689.531016760282</v>
      </c>
      <c r="S36" s="1">
        <v>352.20609151102099</v>
      </c>
      <c r="T36" s="1">
        <v>559.40130519954198</v>
      </c>
      <c r="U36" s="1">
        <v>554.84185040196701</v>
      </c>
      <c r="V36" s="1">
        <v>793.83610959951397</v>
      </c>
    </row>
    <row r="38" spans="2:22" x14ac:dyDescent="0.35">
      <c r="B38" s="2" t="s">
        <v>9</v>
      </c>
      <c r="C38" s="3">
        <f>1-C35/C34</f>
        <v>2.5991876977646822E-3</v>
      </c>
      <c r="D38" s="3">
        <f t="shared" ref="D38:V38" si="5">1-D35/D34</f>
        <v>-2.5557013043028265E-2</v>
      </c>
      <c r="E38" s="3">
        <f t="shared" si="5"/>
        <v>-8.1075239993788628E-4</v>
      </c>
      <c r="F38" s="3">
        <f t="shared" si="5"/>
        <v>-2.0554054381375808E-2</v>
      </c>
      <c r="G38" s="3">
        <f t="shared" si="5"/>
        <v>-2.1973163720386157E-2</v>
      </c>
      <c r="H38" s="3">
        <f t="shared" si="5"/>
        <v>-4.5864567673836287E-2</v>
      </c>
      <c r="I38" s="3">
        <f t="shared" si="5"/>
        <v>-1.3834642811455078E-2</v>
      </c>
      <c r="J38" s="3">
        <f t="shared" si="5"/>
        <v>-7.2479233373334839E-3</v>
      </c>
      <c r="K38" s="3">
        <f t="shared" si="5"/>
        <v>-2.9194885177329599E-2</v>
      </c>
      <c r="L38" s="3">
        <f t="shared" si="5"/>
        <v>-6.4186471673350898E-3</v>
      </c>
      <c r="M38" s="3">
        <f t="shared" si="5"/>
        <v>-1.8308242287663479E-2</v>
      </c>
      <c r="N38" s="3">
        <f t="shared" si="5"/>
        <v>1.857910803094398E-2</v>
      </c>
      <c r="O38" s="3">
        <f t="shared" si="5"/>
        <v>-3.8279254891969039E-2</v>
      </c>
      <c r="P38" s="3">
        <f t="shared" si="5"/>
        <v>-4.3366695285191881E-2</v>
      </c>
      <c r="Q38" s="3">
        <f t="shared" si="5"/>
        <v>-9.1182431184722024E-3</v>
      </c>
      <c r="R38" s="3">
        <f t="shared" si="5"/>
        <v>-2.4010365244912846E-2</v>
      </c>
      <c r="S38" s="3">
        <f t="shared" si="5"/>
        <v>-1.3417623310004956E-2</v>
      </c>
      <c r="T38" s="3">
        <f t="shared" si="5"/>
        <v>-1.3564808851322274E-2</v>
      </c>
      <c r="U38" s="3">
        <f t="shared" si="5"/>
        <v>-2.6856883598818548E-2</v>
      </c>
      <c r="V38" s="4">
        <f t="shared" si="5"/>
        <v>-2.4261344715233113E-2</v>
      </c>
    </row>
    <row r="39" spans="2:22" x14ac:dyDescent="0.35">
      <c r="B39" s="5" t="s">
        <v>6</v>
      </c>
      <c r="C39" s="11">
        <f>1-C36/C34</f>
        <v>2.6732463971335885E-2</v>
      </c>
      <c r="D39" s="11">
        <f>1-D36/D34</f>
        <v>3.3263543286396358E-2</v>
      </c>
      <c r="E39" s="11">
        <f>1-E36/E34</f>
        <v>3.4633181361846788E-2</v>
      </c>
      <c r="F39" s="11">
        <f>1-F36/F34</f>
        <v>1.2639515683072977E-2</v>
      </c>
      <c r="G39" s="11">
        <f>1-G36/G34</f>
        <v>1.7330847930763671E-2</v>
      </c>
      <c r="H39" s="11">
        <f>1-H36/H34</f>
        <v>-8.5476747237147599E-3</v>
      </c>
      <c r="I39" s="11">
        <f>1-I36/I34</f>
        <v>2.7785278555614856E-2</v>
      </c>
      <c r="J39" s="11">
        <f>1-J36/J34</f>
        <v>1.3193705747927442E-2</v>
      </c>
      <c r="K39" s="11">
        <f>1-K36/K34</f>
        <v>1.4514159518807968E-2</v>
      </c>
      <c r="L39" s="11">
        <f>1-L36/L34</f>
        <v>1.6867052756169953E-2</v>
      </c>
      <c r="M39" s="11">
        <f>1-M36/M34</f>
        <v>2.1898478186243686E-2</v>
      </c>
      <c r="N39" s="11">
        <f>1-N36/N34</f>
        <v>6.0842511073346039E-2</v>
      </c>
      <c r="O39" s="11">
        <f>1-O36/O34</f>
        <v>3.0667131386402091E-2</v>
      </c>
      <c r="P39" s="11">
        <f>1-P36/P34</f>
        <v>4.6260407895541755E-2</v>
      </c>
      <c r="Q39" s="11">
        <f>1-Q36/Q34</f>
        <v>2.7907479279403291E-2</v>
      </c>
      <c r="R39" s="11">
        <f>1-R36/R34</f>
        <v>1.4569041900035384E-2</v>
      </c>
      <c r="S39" s="11">
        <f>1-S36/S34</f>
        <v>4.6014029417509428E-2</v>
      </c>
      <c r="T39" s="11">
        <f>1-T36/T34</f>
        <v>1.1200842491302931E-2</v>
      </c>
      <c r="U39" s="11">
        <f>1-U36/U34</f>
        <v>1.0274344865892737E-2</v>
      </c>
      <c r="V39" s="12">
        <f>1-V36/V34</f>
        <v>1.1142147958137838E-2</v>
      </c>
    </row>
    <row r="40" spans="2:22" x14ac:dyDescent="0.35">
      <c r="B40" s="5" t="s">
        <v>8</v>
      </c>
      <c r="C40" s="6">
        <f>C36-C32</f>
        <v>284.08484057822301</v>
      </c>
      <c r="D40" s="6">
        <f t="shared" ref="D40:V40" si="6">D36-D32</f>
        <v>227.07658703918</v>
      </c>
      <c r="E40" s="6">
        <f t="shared" si="6"/>
        <v>126.96631641580998</v>
      </c>
      <c r="F40" s="6">
        <f t="shared" si="6"/>
        <v>198.67197162621403</v>
      </c>
      <c r="G40" s="6">
        <f t="shared" si="6"/>
        <v>248.03233134088106</v>
      </c>
      <c r="H40" s="6">
        <f t="shared" si="6"/>
        <v>139.49164625133398</v>
      </c>
      <c r="I40" s="6">
        <f t="shared" si="6"/>
        <v>196.27116815175697</v>
      </c>
      <c r="J40" s="6">
        <f t="shared" si="6"/>
        <v>226.45888022033006</v>
      </c>
      <c r="K40" s="6">
        <f t="shared" si="6"/>
        <v>137.95492727950898</v>
      </c>
      <c r="L40" s="6">
        <f t="shared" si="6"/>
        <v>127.42735277092103</v>
      </c>
      <c r="M40" s="6">
        <f t="shared" si="6"/>
        <v>215.58627278413297</v>
      </c>
      <c r="N40" s="6">
        <f t="shared" si="6"/>
        <v>223.50870579630202</v>
      </c>
      <c r="O40" s="6">
        <f t="shared" si="6"/>
        <v>129.19885764267997</v>
      </c>
      <c r="P40" s="6">
        <f t="shared" si="6"/>
        <v>121.46020963485989</v>
      </c>
      <c r="Q40" s="6">
        <f t="shared" si="6"/>
        <v>184.28943735118</v>
      </c>
      <c r="R40" s="6">
        <f t="shared" si="6"/>
        <v>250.30745601818597</v>
      </c>
      <c r="S40" s="6">
        <f t="shared" si="6"/>
        <v>168.67192012408799</v>
      </c>
      <c r="T40" s="6">
        <f t="shared" si="6"/>
        <v>166.47251683771998</v>
      </c>
      <c r="U40" s="6">
        <f t="shared" si="6"/>
        <v>227.29211585342</v>
      </c>
      <c r="V40" s="7">
        <f t="shared" si="6"/>
        <v>241.99791293615897</v>
      </c>
    </row>
    <row r="41" spans="2:22" x14ac:dyDescent="0.35">
      <c r="B41" s="8" t="s">
        <v>7</v>
      </c>
      <c r="C41" s="9">
        <f>(C36-C32)/C32</f>
        <v>0.7000207294359998</v>
      </c>
      <c r="D41" s="9">
        <f t="shared" ref="D41:V41" si="7">(D36-D32)/D32</f>
        <v>1.1915493090792058</v>
      </c>
      <c r="E41" s="9">
        <f t="shared" si="7"/>
        <v>0.9144709637089159</v>
      </c>
      <c r="F41" s="9">
        <f t="shared" si="7"/>
        <v>0.53456991080322724</v>
      </c>
      <c r="G41" s="9">
        <f t="shared" si="7"/>
        <v>0.6084233454950797</v>
      </c>
      <c r="H41" s="9">
        <f t="shared" si="7"/>
        <v>1.2139193082287465</v>
      </c>
      <c r="I41" s="9">
        <f t="shared" si="7"/>
        <v>0.63252099641600357</v>
      </c>
      <c r="J41" s="9">
        <f t="shared" si="7"/>
        <v>0.69415134361630615</v>
      </c>
      <c r="K41" s="9">
        <f t="shared" si="7"/>
        <v>0.70621500837898077</v>
      </c>
      <c r="L41" s="9">
        <f t="shared" si="7"/>
        <v>0.63198437899538173</v>
      </c>
      <c r="M41" s="9">
        <f t="shared" si="7"/>
        <v>0.52681122261319024</v>
      </c>
      <c r="N41" s="9">
        <f t="shared" si="7"/>
        <v>0.75679619777078611</v>
      </c>
      <c r="O41" s="9">
        <f t="shared" si="7"/>
        <v>1.0400172832390735</v>
      </c>
      <c r="P41" s="9">
        <f t="shared" si="7"/>
        <v>1.8120524543373941</v>
      </c>
      <c r="Q41" s="9">
        <f t="shared" si="7"/>
        <v>1.0643897457150497</v>
      </c>
      <c r="R41" s="9">
        <f t="shared" si="7"/>
        <v>0.56988622285033086</v>
      </c>
      <c r="S41" s="9">
        <f t="shared" si="7"/>
        <v>0.91902188485918568</v>
      </c>
      <c r="T41" s="9">
        <f t="shared" si="7"/>
        <v>0.42367095964581375</v>
      </c>
      <c r="U41" s="9">
        <f t="shared" si="7"/>
        <v>0.69391634881551834</v>
      </c>
      <c r="V41" s="10">
        <f t="shared" si="7"/>
        <v>0.43853055913740613</v>
      </c>
    </row>
    <row r="43" spans="2:22" x14ac:dyDescent="0.35">
      <c r="B43" s="13" t="s">
        <v>10</v>
      </c>
      <c r="C43" s="14">
        <f>C38-C9</f>
        <v>-1.6575371161661079E-2</v>
      </c>
      <c r="D43" s="14">
        <f t="shared" ref="D43:V44" si="8">D38-D9</f>
        <v>-3.4930705474256585E-2</v>
      </c>
      <c r="E43" s="14">
        <f t="shared" si="8"/>
        <v>-3.5535858039345114E-2</v>
      </c>
      <c r="F43" s="14">
        <f t="shared" si="8"/>
        <v>-3.6173388104351334E-2</v>
      </c>
      <c r="G43" s="14">
        <f t="shared" si="8"/>
        <v>-4.0529168702328477E-2</v>
      </c>
      <c r="H43" s="14">
        <f t="shared" si="8"/>
        <v>-0.10685372392531922</v>
      </c>
      <c r="I43" s="14">
        <f t="shared" si="8"/>
        <v>-4.7721510245675614E-2</v>
      </c>
      <c r="J43" s="14">
        <f t="shared" si="8"/>
        <v>-2.3360599291481376E-2</v>
      </c>
      <c r="K43" s="14">
        <f t="shared" si="8"/>
        <v>-7.481940782259433E-2</v>
      </c>
      <c r="L43" s="14">
        <f t="shared" si="8"/>
        <v>-4.3273382448537734E-2</v>
      </c>
      <c r="M43" s="14">
        <f t="shared" si="8"/>
        <v>-3.6307797335701775E-2</v>
      </c>
      <c r="N43" s="14">
        <f t="shared" si="8"/>
        <v>-1.0662300743988884E-2</v>
      </c>
      <c r="O43" s="14">
        <f t="shared" si="8"/>
        <v>-8.8230750332139674E-2</v>
      </c>
      <c r="P43" s="14">
        <f t="shared" si="8"/>
        <v>-5.8336787697361725E-2</v>
      </c>
      <c r="Q43" s="14">
        <f t="shared" si="8"/>
        <v>-4.219591173455195E-2</v>
      </c>
      <c r="R43" s="14">
        <f t="shared" si="8"/>
        <v>-2.3918970339054324E-2</v>
      </c>
      <c r="S43" s="14">
        <f t="shared" si="8"/>
        <v>-6.8841955159220314E-2</v>
      </c>
      <c r="T43" s="14">
        <f t="shared" si="8"/>
        <v>-2.0442062063657063E-2</v>
      </c>
      <c r="U43" s="14">
        <f t="shared" si="8"/>
        <v>-2.9881573670780148E-2</v>
      </c>
      <c r="V43" s="15">
        <f t="shared" si="8"/>
        <v>-2.98139771786049E-2</v>
      </c>
    </row>
    <row r="44" spans="2:22" x14ac:dyDescent="0.35">
      <c r="B44" s="16" t="s">
        <v>11</v>
      </c>
      <c r="C44" s="17">
        <f>C39-C10</f>
        <v>-2.263434262405295E-2</v>
      </c>
      <c r="D44" s="17">
        <f t="shared" si="8"/>
        <v>-2.3159532475708233E-2</v>
      </c>
      <c r="E44" s="17">
        <f t="shared" si="8"/>
        <v>-3.3288300098223589E-2</v>
      </c>
      <c r="F44" s="17">
        <f t="shared" si="8"/>
        <v>-3.0695713033223604E-2</v>
      </c>
      <c r="G44" s="17">
        <f t="shared" si="8"/>
        <v>-1.5332454262367623E-2</v>
      </c>
      <c r="H44" s="17">
        <f t="shared" si="8"/>
        <v>-0.10450791115397295</v>
      </c>
      <c r="I44" s="17">
        <f t="shared" si="8"/>
        <v>-1.680013582902018E-2</v>
      </c>
      <c r="J44" s="17">
        <f t="shared" si="8"/>
        <v>-2.9039213052521107E-2</v>
      </c>
      <c r="K44" s="17">
        <f t="shared" si="8"/>
        <v>-3.9632818086893895E-2</v>
      </c>
      <c r="L44" s="17">
        <f t="shared" si="8"/>
        <v>-3.8350475230442882E-2</v>
      </c>
      <c r="M44" s="17">
        <f t="shared" si="8"/>
        <v>-1.8473939427928743E-2</v>
      </c>
      <c r="N44" s="17">
        <f t="shared" si="8"/>
        <v>3.6036377921745411E-3</v>
      </c>
      <c r="O44" s="17">
        <f t="shared" si="8"/>
        <v>-4.7645771815462923E-2</v>
      </c>
      <c r="P44" s="17">
        <f t="shared" si="8"/>
        <v>-6.1088524953778145E-2</v>
      </c>
      <c r="Q44" s="17">
        <f t="shared" si="8"/>
        <v>-3.1274075858938044E-2</v>
      </c>
      <c r="R44" s="17">
        <f t="shared" si="8"/>
        <v>-1.9977732699984374E-2</v>
      </c>
      <c r="S44" s="17">
        <f t="shared" si="8"/>
        <v>-4.2583376506326043E-2</v>
      </c>
      <c r="T44" s="17">
        <f t="shared" si="8"/>
        <v>-1.9596161250831412E-2</v>
      </c>
      <c r="U44" s="17">
        <f t="shared" si="8"/>
        <v>-2.4683325336451456E-2</v>
      </c>
      <c r="V44" s="18">
        <f t="shared" si="8"/>
        <v>-1.4026948838146813E-2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Joris Depoortere</dc:creator>
  <cp:lastModifiedBy>Joris Depoortere</cp:lastModifiedBy>
  <dcterms:created xsi:type="dcterms:W3CDTF">2025-06-16T15:18:37Z</dcterms:created>
  <dcterms:modified xsi:type="dcterms:W3CDTF">2025-06-16T16:01:50Z</dcterms:modified>
</cp:coreProperties>
</file>